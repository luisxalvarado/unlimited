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1. Measure" sheetId="1" r:id="rId4"/>
    <sheet state="visible" name="📈 2. Track"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Your monthly personal burn rate
• Include: rent, food, bills, transport, debt repayments, interest subscriptions — everything</t>
      </text>
    </comment>
    <comment authorId="0" ref="A4">
      <text>
        <t xml:space="preserve">• Your *future* monthly burn rate
• Based on your *ideal* lifestyle
• Think 2–5 years ahead
Add up goal-level:
🏡 Houses
🚗 Cars
✈️ Travel
🍔 Necessities
📚 Education
👥 Team
💎 Other (luxuries, giving, etc)</t>
      </text>
    </comment>
    <comment authorId="0" ref="A5">
      <text>
        <t xml:space="preserve">• Your monthly Type B income</t>
      </text>
    </comment>
    <comment authorId="0" ref="A6">
      <text>
        <t xml:space="preserve">• Your monthly Type A income</t>
      </text>
    </comment>
    <comment authorId="0" ref="A7">
      <text>
        <t xml:space="preserve">• Your total cash or investments you can access quickly
✅ Includes: bank balances, stocks, bonds, mutual funds, crypto, offset accounts
❌ Excludes: property, cars, jewellery, superannuation &amp; retirement funds, locked-up funds</t>
      </text>
    </comment>
    <comment authorId="0" ref="A8">
      <text>
        <t xml:space="preserve">• Complete the "Mental Freedom Quiz" to calculate your number
• Takes 5 mins approx.</t>
      </text>
    </comment>
    <comment authorId="0" ref="A9">
      <text>
        <t xml:space="preserve">Enter your Inspired Life Score
Option 1: ⚡️ Quick Estimate
Option 2: 🔥 Full 7 Day Life Audit
Tip: Estimate it now. Start the full life audit today. In 7 days, replace your guess with the real score.</t>
      </text>
    </comment>
  </commentList>
</comments>
</file>

<file path=xl/sharedStrings.xml><?xml version="1.0" encoding="utf-8"?>
<sst xmlns="http://schemas.openxmlformats.org/spreadsheetml/2006/main" count="26" uniqueCount="26">
  <si>
    <t xml:space="preserve">                                         My Modern Freedom™</t>
  </si>
  <si>
    <t>🧮 My Numbers:</t>
  </si>
  <si>
    <t>📊 My Summary:</t>
  </si>
  <si>
    <t>💸 Monthly Expenses</t>
  </si>
  <si>
    <t>💻 Work Freedom</t>
  </si>
  <si>
    <t>💎 Cost of Ideal Lifestyle</t>
  </si>
  <si>
    <t>💰 Financial Freedom</t>
  </si>
  <si>
    <r>
      <rPr>
        <rFont val="Proxima Nova"/>
        <b/>
        <color rgb="FFFFFFFF"/>
      </rPr>
      <t xml:space="preserve">💻 Online Income
</t>
    </r>
    <r>
      <rPr>
        <rFont val="Proxima Nova"/>
        <b val="0"/>
        <color rgb="FFFFFFFF"/>
        <sz val="7.0"/>
      </rPr>
      <t>(Type B)</t>
    </r>
  </si>
  <si>
    <t>🧠 Mental Freedom</t>
  </si>
  <si>
    <r>
      <rPr>
        <rFont val="Proxima Nova"/>
        <b/>
        <color rgb="FFFFFFFF"/>
      </rPr>
      <t xml:space="preserve">💰 Passive Income
</t>
    </r>
    <r>
      <rPr>
        <rFont val="Proxima Nova"/>
        <b val="0"/>
        <color rgb="FFFFFFFF"/>
        <sz val="7.0"/>
      </rPr>
      <t>(Type A)</t>
    </r>
  </si>
  <si>
    <t>🗓️ Time Freedom</t>
  </si>
  <si>
    <t>💵 Liquid Assets</t>
  </si>
  <si>
    <t>🌏 Modern Freedom</t>
  </si>
  <si>
    <t>🧠 Mental Freedom Score</t>
  </si>
  <si>
    <t>❤️ Inspired Life Score</t>
  </si>
  <si>
    <t>© Lewis Mocker Education Pty. Ltd. Do not share, copy, reproduce or sell any part of this document unless you have written permission. All infringements will be prosecuted and you'll get trapped in the rat race for the rest of time.</t>
  </si>
  <si>
    <t>✏️ Instructions: 
1. Copy the green barcode.
2. Paste it into the first spare row using Paste Special &gt; Values only.
3. Repeat monthly &amp; track your progress.</t>
  </si>
  <si>
    <t>Date</t>
  </si>
  <si>
    <t>Work Freedom</t>
  </si>
  <si>
    <t>Financial Freedom</t>
  </si>
  <si>
    <t>Time Freedom</t>
  </si>
  <si>
    <t>Mental Freedom</t>
  </si>
  <si>
    <t>Modern Freedom</t>
  </si>
  <si>
    <t>Modern Freedom Score:</t>
  </si>
  <si>
    <t>100% =_x001d_ Modern Freedom: Total alignment. You run your life. Nothing owns you. Calm, clear, sovereign.
90% = Self-Actualised: You live with power &amp; inspiration. Minimal friction. Most days feel like yours.
80% =_x001d_ Self-Governed: You lead. You create. You choose. There’s structure, but it serves you.
70% =_x001b_Semi-Free: You’ve taken ground. Still some internal or external pressure pulling at you.
60% =_x001b_Controlled Comfort: Life’s okay. But you’re negotiating too much. Energy leaks everywhere.
50% =_x001b_The Plateau: Stuck. You’re doing things that “work” but don’t feel right. No real momentum.
40% =_x001b_Quiet Constraint: You feel the tension daily. Choices feel limited. You're reacting more than leading.
30% =_x001d_ System-Owned: You have little control. Your time, mind, and energy are claimed by others.
20% =_x001b_Life on Rails: Wake up, obey, repeat. You’re living by scripts that aren’t yours.
10% =_x001b_Identity Erosion: You barely recognise yourself. No clarity, no power, no voice.
0% =_x001b_Modern Slavery: Everything you do is for someone else. You are outsourced. Numb. Lost.</t>
  </si>
  <si>
    <t>© Lewis Mocker Education Pty. Ltd. Do not share, copy, reproduce or sell any part of this document unless you have written permission. All infringements will be prosecuted and you'll manifest a quiet life of desperation.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</si>
</sst>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00"/>
    <numFmt numFmtId="165" formatCode="&quot;$&quot;#,##0.00&quot; / week&quot;"/>
    <numFmt numFmtId="166" formatCode="&quot;$&quot;#,##0&quot;/m&quot;"/>
    <numFmt numFmtId="167" formatCode="0.0%"/>
    <numFmt numFmtId="168" formatCode="&quot;$&quot;#,##0"/>
    <numFmt numFmtId="169" formatCode="d&quot; &quot;mmmm&quot; &quot;yyyy"/>
    <numFmt numFmtId="170" formatCode="d&quot;-&quot;mmm&quot;-&quot;yyyy"/>
  </numFmts>
  <fonts count="13">
    <font>
      <sz val="10.0"/>
      <color rgb="FF000000"/>
      <name val="Arial"/>
    </font>
    <font>
      <b/>
      <sz val="18.0"/>
      <color rgb="FFFFFFFF"/>
      <name val="Proxima Nova"/>
    </font>
    <font>
      <b/>
      <sz val="8.0"/>
      <color rgb="FFFFFFFF"/>
      <name val="Proxima Nova"/>
    </font>
    <font>
      <b/>
      <sz val="10.0"/>
      <color rgb="FFFFFFFF"/>
      <name val="Proxima Nova"/>
    </font>
    <font>
      <b/>
      <color rgb="FFFFFFFF"/>
      <name val="Proxima Nova"/>
    </font>
    <font/>
    <font>
      <name val="Proxima Nova"/>
    </font>
    <font>
      <sz val="9.0"/>
      <name val="Proxima Nova"/>
    </font>
    <font>
      <sz val="8.0"/>
      <color rgb="FFFFFFFF"/>
      <name val="Proxima Nova"/>
    </font>
    <font>
      <sz val="6.0"/>
      <color rgb="FFB7B7B7"/>
      <name val="Proxima Nova"/>
    </font>
    <font>
      <b/>
      <sz val="9.0"/>
      <color rgb="FFFFFFFF"/>
      <name val="Proxima Nova"/>
    </font>
    <font>
      <b/>
      <name val="Proxima Nova"/>
    </font>
    <font>
      <b/>
      <sz val="12.0"/>
      <color rgb="FFFFFFFF"/>
      <name val="Proxima Nova"/>
    </font>
  </fonts>
  <fills count="5">
    <fill>
      <patternFill patternType="none"/>
    </fill>
    <fill>
      <patternFill patternType="lightGray"/>
    </fill>
    <fill>
      <patternFill patternType="solid">
        <fgColor rgb="FF232B2D"/>
        <bgColor rgb="FF232B2D"/>
      </patternFill>
    </fill>
    <fill>
      <patternFill patternType="solid">
        <fgColor rgb="FF333B3D"/>
        <bgColor rgb="FF333B3D"/>
      </patternFill>
    </fill>
    <fill>
      <patternFill patternType="solid">
        <fgColor rgb="FF21B486"/>
        <bgColor rgb="FF21B486"/>
      </patternFill>
    </fill>
  </fills>
  <borders count="19">
    <border/>
    <border>
      <left style="medium">
        <color rgb="FF232B2D"/>
      </left>
      <top style="medium">
        <color rgb="FF232B2D"/>
      </top>
    </border>
    <border>
      <left style="medium">
        <color rgb="FF232B2D"/>
      </left>
      <right style="medium">
        <color rgb="FF232B2D"/>
      </right>
      <top style="medium">
        <color rgb="FF232B2D"/>
      </top>
      <bottom style="medium">
        <color rgb="FF232B2D"/>
      </bottom>
    </border>
    <border>
      <top style="medium">
        <color rgb="FF232B2D"/>
      </top>
    </border>
    <border>
      <left style="medium">
        <color rgb="FF232B2D"/>
      </left>
      <top style="medium">
        <color rgb="FF232B2D"/>
      </top>
      <bottom style="medium">
        <color rgb="FF232B2D"/>
      </bottom>
    </border>
    <border>
      <top style="medium">
        <color rgb="FF232B2D"/>
      </top>
      <bottom style="medium">
        <color rgb="FF232B2D"/>
      </bottom>
    </border>
    <border>
      <right style="medium">
        <color rgb="FF232B2D"/>
      </right>
      <top style="medium">
        <color rgb="FF232B2D"/>
      </top>
      <bottom style="medium">
        <color rgb="FF232B2D"/>
      </bottom>
    </border>
    <border>
      <left style="medium">
        <color rgb="FF232B2D"/>
      </left>
      <right style="medium">
        <color rgb="FF232B2D"/>
      </right>
      <top style="medium">
        <color rgb="FF232B2D"/>
      </top>
    </border>
    <border>
      <top style="thin">
        <color rgb="FF232B2D"/>
      </top>
      <bottom style="thin">
        <color rgb="FF232B2D"/>
      </bottom>
    </border>
    <border>
      <left style="medium">
        <color rgb="FF232B2D"/>
      </left>
    </border>
    <border>
      <left style="medium">
        <color rgb="FF232B2D"/>
      </left>
      <right style="medium">
        <color rgb="FF232B2D"/>
      </right>
    </border>
    <border>
      <left style="medium">
        <color rgb="FF232B2D"/>
      </left>
      <bottom style="medium">
        <color rgb="FF232B2D"/>
      </bottom>
    </border>
    <border>
      <left style="medium">
        <color rgb="FF232B2D"/>
      </left>
      <right style="medium">
        <color rgb="FF232B2D"/>
      </right>
      <bottom style="medium">
        <color rgb="FF232B2D"/>
      </bottom>
    </border>
    <border>
      <left style="thin">
        <color rgb="FF232B2D"/>
      </left>
      <bottom style="thin">
        <color rgb="FF232B2D"/>
      </bottom>
    </border>
    <border>
      <bottom style="thin">
        <color rgb="FF232B2D"/>
      </bottom>
    </border>
    <border>
      <right style="thin">
        <color rgb="FF232B2D"/>
      </right>
      <bottom style="thin">
        <color rgb="FF232B2D"/>
      </bottom>
    </border>
    <border>
      <right style="thin">
        <color rgb="FF232B2D"/>
      </right>
    </border>
    <border>
      <right style="thin">
        <color rgb="FF232B2D"/>
      </right>
      <top style="thin">
        <color rgb="FF232B2D"/>
      </top>
      <bottom style="thin">
        <color rgb="FF232B2D"/>
      </bottom>
    </border>
    <border>
      <top style="thin">
        <color rgb="FF232B2D"/>
      </top>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2" fontId="2" numFmtId="0" xfId="0" applyAlignment="1" applyFont="1">
      <alignment horizontal="left" readingOrder="0" vertical="center"/>
    </xf>
    <xf borderId="0" fillId="2" fontId="3" numFmtId="0" xfId="0" applyAlignment="1" applyFont="1">
      <alignment horizontal="center" readingOrder="0" vertical="center"/>
    </xf>
    <xf borderId="1" fillId="2" fontId="4" numFmtId="164" xfId="0" applyAlignment="1" applyBorder="1" applyFont="1" applyNumberFormat="1">
      <alignment horizontal="center" readingOrder="0" vertical="center"/>
    </xf>
    <xf borderId="2" fillId="3" fontId="3" numFmtId="165" xfId="0" applyAlignment="1" applyBorder="1" applyFill="1" applyFont="1" applyNumberFormat="1">
      <alignment horizontal="center" readingOrder="0" vertical="center"/>
    </xf>
    <xf borderId="3"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5" fillId="0" fontId="5" numFmtId="0" xfId="0" applyBorder="1" applyFont="1"/>
    <xf borderId="6" fillId="0" fontId="5" numFmtId="0" xfId="0" applyBorder="1" applyFont="1"/>
    <xf borderId="0" fillId="0" fontId="6" numFmtId="0" xfId="0" applyAlignment="1" applyFont="1">
      <alignment horizontal="center" readingOrder="0" vertical="center"/>
    </xf>
    <xf borderId="1" fillId="3" fontId="4" numFmtId="0" xfId="0" applyAlignment="1" applyBorder="1" applyFont="1">
      <alignment horizontal="center" readingOrder="0" shrinkToFit="0" vertical="center" wrapText="1"/>
    </xf>
    <xf borderId="7" fillId="0" fontId="7" numFmtId="166" xfId="0" applyAlignment="1" applyBorder="1" applyFont="1" applyNumberFormat="1">
      <alignment horizontal="center" readingOrder="0" vertical="center"/>
    </xf>
    <xf borderId="8" fillId="2" fontId="8" numFmtId="0" xfId="0" applyAlignment="1" applyBorder="1" applyFont="1">
      <alignment horizontal="center" readingOrder="0" shrinkToFit="0" vertical="center" wrapText="1"/>
    </xf>
    <xf borderId="2" fillId="3" fontId="4" numFmtId="164" xfId="0" applyAlignment="1" applyBorder="1" applyFont="1" applyNumberFormat="1">
      <alignment horizontal="center" readingOrder="0" vertical="center"/>
    </xf>
    <xf borderId="2" fillId="2" fontId="4" numFmtId="167" xfId="0" applyAlignment="1" applyBorder="1" applyFont="1" applyNumberFormat="1">
      <alignment horizontal="center" readingOrder="0" vertical="center"/>
    </xf>
    <xf borderId="2" fillId="3" fontId="6" numFmtId="164" xfId="0" applyAlignment="1" applyBorder="1" applyFont="1" applyNumberFormat="1">
      <alignment horizontal="center" readingOrder="0" vertical="center"/>
    </xf>
    <xf borderId="0" fillId="0" fontId="6" numFmtId="10" xfId="0" applyAlignment="1" applyFont="1" applyNumberFormat="1">
      <alignment horizontal="center" readingOrder="0" vertical="center"/>
    </xf>
    <xf borderId="9" fillId="3" fontId="4" numFmtId="164" xfId="0" applyAlignment="1" applyBorder="1" applyFont="1" applyNumberFormat="1">
      <alignment horizontal="center" readingOrder="0" vertical="center"/>
    </xf>
    <xf borderId="10" fillId="0" fontId="7" numFmtId="166" xfId="0" applyAlignment="1" applyBorder="1" applyFont="1" applyNumberFormat="1">
      <alignment horizontal="center" readingOrder="0" vertical="center"/>
    </xf>
    <xf borderId="0" fillId="0" fontId="6" numFmtId="4" xfId="0" applyAlignment="1" applyFont="1" applyNumberFormat="1">
      <alignment horizontal="center" readingOrder="0" vertical="center"/>
    </xf>
    <xf borderId="9" fillId="3" fontId="4" numFmtId="0" xfId="0" applyAlignment="1" applyBorder="1" applyFont="1">
      <alignment horizontal="center" readingOrder="0" shrinkToFit="0" vertical="center" wrapText="1"/>
    </xf>
    <xf borderId="10" fillId="0" fontId="7" numFmtId="168" xfId="0" applyAlignment="1" applyBorder="1" applyFont="1" applyNumberFormat="1">
      <alignment horizontal="center" readingOrder="0" vertical="center"/>
    </xf>
    <xf borderId="7" fillId="3" fontId="4" numFmtId="164" xfId="0" applyAlignment="1" applyBorder="1" applyFont="1" applyNumberFormat="1">
      <alignment horizontal="center" readingOrder="0" vertical="center"/>
    </xf>
    <xf borderId="7" fillId="2" fontId="4" numFmtId="167" xfId="0" applyAlignment="1" applyBorder="1" applyFont="1" applyNumberFormat="1">
      <alignment horizontal="center" readingOrder="0" vertical="center"/>
    </xf>
    <xf borderId="7" fillId="3" fontId="6" numFmtId="164" xfId="0" applyAlignment="1" applyBorder="1" applyFont="1" applyNumberFormat="1">
      <alignment horizontal="center" readingOrder="0" vertical="center"/>
    </xf>
    <xf borderId="10" fillId="0" fontId="7" numFmtId="167" xfId="0" applyAlignment="1" applyBorder="1" applyFont="1" applyNumberFormat="1">
      <alignment horizontal="center" readingOrder="0" vertical="center"/>
    </xf>
    <xf borderId="10" fillId="0" fontId="5" numFmtId="0" xfId="0" applyBorder="1" applyFont="1"/>
    <xf borderId="11" fillId="3" fontId="4" numFmtId="0" xfId="0" applyAlignment="1" applyBorder="1" applyFont="1">
      <alignment horizontal="center" readingOrder="0" shrinkToFit="0" vertical="center" wrapText="1"/>
    </xf>
    <xf borderId="12" fillId="0" fontId="7" numFmtId="2" xfId="0" applyAlignment="1" applyBorder="1" applyFont="1" applyNumberFormat="1">
      <alignment horizontal="center" readingOrder="0" vertical="center"/>
    </xf>
    <xf borderId="12" fillId="0" fontId="5" numFmtId="0" xfId="0" applyBorder="1" applyFont="1"/>
    <xf borderId="13" fillId="2" fontId="9" numFmtId="0" xfId="0" applyAlignment="1" applyBorder="1" applyFont="1">
      <alignment horizontal="center" readingOrder="0" shrinkToFit="0" vertical="center" wrapText="1"/>
    </xf>
    <xf borderId="14" fillId="0" fontId="5" numFmtId="0" xfId="0" applyBorder="1" applyFont="1"/>
    <xf borderId="15" fillId="0" fontId="5" numFmtId="0" xfId="0" applyBorder="1" applyFont="1"/>
    <xf borderId="16" fillId="2" fontId="10" numFmtId="0" xfId="0" applyAlignment="1" applyBorder="1" applyFont="1">
      <alignment horizontal="left" readingOrder="0" vertical="center"/>
    </xf>
    <xf borderId="0" fillId="2" fontId="1" numFmtId="0" xfId="0" applyAlignment="1" applyFont="1">
      <alignment horizontal="center" readingOrder="0" vertical="center"/>
    </xf>
    <xf borderId="14" fillId="2" fontId="1" numFmtId="0" xfId="0" applyAlignment="1" applyBorder="1" applyFont="1">
      <alignment horizontal="center" readingOrder="0" vertical="center"/>
    </xf>
    <xf borderId="0" fillId="4" fontId="2" numFmtId="169" xfId="0" applyAlignment="1" applyFill="1" applyFont="1" applyNumberFormat="1">
      <alignment horizontal="center" readingOrder="0" shrinkToFit="0" vertical="center" wrapText="1"/>
    </xf>
    <xf borderId="0" fillId="4" fontId="2" numFmtId="167" xfId="0" applyAlignment="1" applyFont="1" applyNumberFormat="1">
      <alignment horizontal="center" readingOrder="0" shrinkToFit="0" vertical="center" wrapText="1"/>
    </xf>
    <xf borderId="0" fillId="2" fontId="4" numFmtId="0" xfId="0" applyAlignment="1" applyFont="1">
      <alignment horizontal="center" readingOrder="0" vertical="center"/>
    </xf>
    <xf borderId="14" fillId="2" fontId="4" numFmtId="0" xfId="0" applyAlignment="1" applyBorder="1" applyFont="1">
      <alignment horizontal="center" readingOrder="0" vertical="center"/>
    </xf>
    <xf borderId="0" fillId="3" fontId="4" numFmtId="170" xfId="0" applyAlignment="1" applyFont="1" applyNumberFormat="1">
      <alignment horizontal="center" readingOrder="0" vertical="center"/>
    </xf>
    <xf borderId="0" fillId="3" fontId="4" numFmtId="164" xfId="0" applyAlignment="1" applyFont="1" applyNumberFormat="1">
      <alignment horizontal="center" readingOrder="0" vertical="center"/>
    </xf>
    <xf borderId="0" fillId="3" fontId="4" numFmtId="2" xfId="0" applyAlignment="1" applyFont="1" applyNumberFormat="1">
      <alignment horizontal="center" readingOrder="0" vertical="center"/>
    </xf>
    <xf borderId="8" fillId="2" fontId="4" numFmtId="0" xfId="0" applyAlignment="1" applyBorder="1" applyFont="1">
      <alignment horizontal="center" readingOrder="0" vertical="center"/>
    </xf>
    <xf borderId="0" fillId="0" fontId="7" numFmtId="169" xfId="0" applyAlignment="1" applyFont="1" applyNumberFormat="1">
      <alignment horizontal="center" readingOrder="0" shrinkToFit="0" vertical="center" wrapText="1"/>
    </xf>
    <xf borderId="0" fillId="0" fontId="7" numFmtId="167" xfId="0" applyAlignment="1" applyFont="1" applyNumberFormat="1">
      <alignment horizontal="center" readingOrder="0" shrinkToFit="0" vertical="center" wrapText="1"/>
    </xf>
    <xf borderId="0" fillId="2" fontId="11" numFmtId="10" xfId="0" applyAlignment="1" applyFont="1" applyNumberFormat="1">
      <alignment horizontal="center" readingOrder="0" vertical="center"/>
    </xf>
    <xf borderId="8" fillId="2" fontId="11" numFmtId="10" xfId="0" applyAlignment="1" applyBorder="1" applyFont="1" applyNumberFormat="1">
      <alignment horizontal="center" readingOrder="0" vertical="center"/>
    </xf>
    <xf borderId="0" fillId="0" fontId="7" numFmtId="10" xfId="0" applyAlignment="1" applyFont="1" applyNumberFormat="1">
      <alignment horizontal="center" readingOrder="0" shrinkToFit="0" vertical="center" wrapText="1"/>
    </xf>
    <xf borderId="17" fillId="2" fontId="11" numFmtId="10" xfId="0" applyAlignment="1" applyBorder="1" applyFont="1" applyNumberFormat="1">
      <alignment horizontal="center" readingOrder="0" vertical="center"/>
    </xf>
    <xf borderId="0" fillId="0" fontId="7" numFmtId="4" xfId="0" applyAlignment="1" applyFont="1" applyNumberFormat="1">
      <alignment horizontal="center" readingOrder="0" shrinkToFit="0" vertical="center" wrapText="1"/>
    </xf>
    <xf borderId="0" fillId="0" fontId="7" numFmtId="2" xfId="0" applyAlignment="1" applyFont="1" applyNumberFormat="1">
      <alignment horizontal="center" readingOrder="0" shrinkToFit="0" vertical="center" wrapText="1"/>
    </xf>
    <xf borderId="0" fillId="0" fontId="7" numFmtId="164" xfId="0" applyAlignment="1" applyFont="1" applyNumberFormat="1">
      <alignment horizontal="center" readingOrder="0" shrinkToFit="0" vertical="center" wrapText="1"/>
    </xf>
    <xf borderId="18" fillId="2" fontId="12" numFmtId="0" xfId="0" applyAlignment="1" applyBorder="1" applyFont="1">
      <alignment horizontal="left" readingOrder="0" shrinkToFit="0" vertical="center" wrapText="1"/>
    </xf>
    <xf borderId="18" fillId="2" fontId="8" numFmtId="0" xfId="0" applyAlignment="1" applyBorder="1" applyFont="1">
      <alignment horizontal="center" readingOrder="0" vertical="center"/>
    </xf>
    <xf borderId="18"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Verdana"/>
              </a:defRPr>
            </a:pPr>
            <a:r>
              <a:rPr b="1">
                <a:solidFill>
                  <a:srgbClr val="FFFFFF"/>
                </a:solidFill>
                <a:latin typeface="Verdana"/>
              </a:rPr>
              <a:t>My Modern Freedom</a:t>
            </a:r>
          </a:p>
        </c:rich>
      </c:tx>
      <c:overlay val="0"/>
    </c:title>
    <c:plotArea>
      <c:layout/>
      <c:lineChart>
        <c:axId val="484799756"/>
        <c:axId val="751078824"/>
      </c:lineChart>
      <c:catAx>
        <c:axId val="484799756"/>
        <c:scaling>
          <c:orientation val="minMax"/>
        </c:scaling>
        <c:delete val="0"/>
        <c:axPos val="b"/>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c:txPr>
          <a:bodyPr/>
          <a:lstStyle/>
          <a:p>
            <a:pPr lvl="0">
              <a:defRPr b="0">
                <a:solidFill>
                  <a:srgbClr val="000000"/>
                </a:solidFill>
                <a:latin typeface="Verdana"/>
              </a:defRPr>
            </a:pPr>
          </a:p>
        </c:txPr>
        <c:crossAx val="751078824"/>
      </c:catAx>
      <c:valAx>
        <c:axId val="751078824"/>
        <c:scaling>
          <c:orientation val="minMax"/>
        </c:scaling>
        <c:delete val="0"/>
        <c:axPos val="l"/>
        <c:tickLblPos val="nextTo"/>
        <c:spPr>
          <a:ln>
            <a:noFill/>
          </a:ln>
        </c:spPr>
        <c:crossAx val="484799756"/>
      </c:valAx>
    </c:plotArea>
    <c:legend>
      <c:legendPos val="t"/>
      <c:overlay val="0"/>
      <c:txPr>
        <a:bodyPr/>
        <a:lstStyle/>
        <a:p>
          <a:pPr lvl="0">
            <a:defRPr b="0">
              <a:solidFill>
                <a:srgbClr val="FFFFFF"/>
              </a:solidFill>
              <a:latin typeface="Verdana"/>
            </a:defRPr>
          </a:pPr>
        </a:p>
      </c:txPr>
    </c:legend>
    <c:plotVisOnly val="1"/>
  </c:chart>
  <c:spPr>
    <a:solidFill>
      <a:srgbClr val="333B3D"/>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266700</xdr:rowOff>
    </xdr:from>
    <xdr:ext cx="1676400" cy="4191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76200</xdr:colOff>
      <xdr:row>0</xdr:row>
      <xdr:rowOff>933450</xdr:rowOff>
    </xdr:from>
    <xdr:ext cx="7639050" cy="4400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352425</xdr:colOff>
      <xdr:row>0</xdr:row>
      <xdr:rowOff>266700</xdr:rowOff>
    </xdr:from>
    <xdr:ext cx="1676400" cy="4191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8.88"/>
    <col customWidth="1" min="3" max="3" width="2.0"/>
    <col customWidth="1" min="4" max="4" width="25.13"/>
    <col customWidth="1" min="5" max="5" width="8.88"/>
    <col customWidth="1" min="6" max="6" width="25.13"/>
    <col customWidth="1" hidden="1" min="7" max="7" width="24.38"/>
  </cols>
  <sheetData>
    <row r="1" ht="75.0" customHeight="1">
      <c r="A1" s="1" t="s">
        <v>0</v>
      </c>
      <c r="F1" s="2"/>
      <c r="G1" s="3"/>
    </row>
    <row r="2" ht="37.5" customHeight="1">
      <c r="A2" s="4"/>
      <c r="B2" s="5" t="s">
        <v>1</v>
      </c>
      <c r="C2" s="6"/>
      <c r="D2" s="7" t="s">
        <v>2</v>
      </c>
      <c r="E2" s="8"/>
      <c r="F2" s="9"/>
      <c r="G2" s="10"/>
    </row>
    <row r="3" ht="37.5" customHeight="1">
      <c r="A3" s="11" t="s">
        <v>3</v>
      </c>
      <c r="B3" s="12"/>
      <c r="C3" s="13"/>
      <c r="D3" s="14" t="s">
        <v>4</v>
      </c>
      <c r="E3" s="15">
        <f>IFERROR(IF(G3&gt;=1,1,(B5/((B4+B3)/2))),0)</f>
        <v>0</v>
      </c>
      <c r="F3" s="16" t="str">
        <f>IFERROR(__xludf.DUMMYFUNCTION("SPARKLINE(E3, {
  ""charttype"", ""bar"";
  ""max"", 1;
  ""color1"", IF(E3 &gt;= 0.75, ""#21b486"", IF(E3 &gt;= 0.4, ""#ff9900"", ""#ff4d4d""))
})
"),"")</f>
        <v/>
      </c>
      <c r="G3" s="17">
        <f>IFERROR(B5/((B4+B3)/2),0)</f>
        <v>0</v>
      </c>
    </row>
    <row r="4" ht="37.5" customHeight="1">
      <c r="A4" s="18" t="s">
        <v>5</v>
      </c>
      <c r="B4" s="19"/>
      <c r="C4" s="13"/>
      <c r="D4" s="14" t="s">
        <v>6</v>
      </c>
      <c r="E4" s="15">
        <f>IF(OR(B3=0,B7=0),0,IF(B6-B3=0,1,IF(G4&lt;=0,1,IF(G4&gt;=480,1,(1 - EXP(-0.01275 * G4))))))</f>
        <v>0</v>
      </c>
      <c r="F4" s="16" t="str">
        <f>IFERROR(__xludf.DUMMYFUNCTION("SPARKLINE(E4, {
  ""charttype"", ""bar"";
  ""max"", 1;
  ""color1"", IF(E4 &gt;= 0.75, ""#21b486"", IF(E4 &gt;= 0.4, ""#ff9900"", ""#ff4d4d""))
})
"),"")</f>
        <v/>
      </c>
      <c r="G4" s="20">
        <f>IFERROR((B7/(B3-B6)),0)</f>
        <v>0</v>
      </c>
    </row>
    <row r="5" ht="37.5" customHeight="1">
      <c r="A5" s="18" t="s">
        <v>7</v>
      </c>
      <c r="B5" s="19"/>
      <c r="C5" s="13"/>
      <c r="D5" s="14" t="s">
        <v>8</v>
      </c>
      <c r="E5" s="15">
        <f>IF(B8="",0,B8)</f>
        <v>0</v>
      </c>
      <c r="F5" s="16" t="str">
        <f>IFERROR(__xludf.DUMMYFUNCTION("SPARKLINE(E5, {
  ""charttype"", ""bar"";
  ""max"", 1;
  ""color1"", IF(E5 &gt;= 0.75, ""#21b486"", IF(E5 &gt;= 0.4, ""#ff9900"", ""#ff4d4d""))
})
"),"")</f>
        <v/>
      </c>
    </row>
    <row r="6" ht="37.5" customHeight="1">
      <c r="A6" s="21" t="s">
        <v>9</v>
      </c>
      <c r="B6" s="19"/>
      <c r="C6" s="13"/>
      <c r="D6" s="14" t="s">
        <v>10</v>
      </c>
      <c r="E6" s="15">
        <f>IF(B9="",0,IF(G9&lt;=-3,0,IF(G9&gt;2.5,1,MIN(100, MAX(0, 100 / (1 + EXP(-1.5* (G9 - 0)))))/100)))</f>
        <v>0</v>
      </c>
      <c r="F6" s="16" t="str">
        <f>IFERROR(__xludf.DUMMYFUNCTION("SPARKLINE(E6, {
  ""charttype"", ""bar"";
  ""max"", 1;
  ""color1"", IF(E6 &gt;= 0.75, ""#21b486"", IF(E6 &gt;= 0.4, ""#ff9900"", ""#ff4d4d""))
})
"),"")</f>
        <v/>
      </c>
    </row>
    <row r="7" ht="37.5" customHeight="1">
      <c r="A7" s="21" t="s">
        <v>11</v>
      </c>
      <c r="B7" s="22"/>
      <c r="C7" s="13"/>
      <c r="D7" s="23" t="s">
        <v>12</v>
      </c>
      <c r="E7" s="24">
        <f>IFERROR(SUM(E3:E6)/4,0)</f>
        <v>0</v>
      </c>
      <c r="F7" s="25" t="str">
        <f>IFERROR(__xludf.DUMMYFUNCTION("SPARKLINE(E7, {
  ""charttype"", ""bar"";
  ""max"", 1;
  ""color1"", IF(E7 &gt;= 0.75, ""#21b486"", IF(E7 &gt;= 0.4, ""#ff9900"", ""#ff4d4d""))
})
"),"")</f>
        <v/>
      </c>
    </row>
    <row r="8" ht="37.5" customHeight="1">
      <c r="A8" s="21" t="s">
        <v>13</v>
      </c>
      <c r="B8" s="26"/>
      <c r="C8" s="13"/>
      <c r="D8" s="27"/>
      <c r="E8" s="27"/>
      <c r="F8" s="27"/>
    </row>
    <row r="9" ht="37.5" customHeight="1">
      <c r="A9" s="28" t="s">
        <v>14</v>
      </c>
      <c r="B9" s="29"/>
      <c r="C9" s="13"/>
      <c r="D9" s="30"/>
      <c r="E9" s="30"/>
      <c r="F9" s="30"/>
      <c r="G9" s="20" t="str">
        <f>(B9)</f>
        <v/>
      </c>
    </row>
    <row r="10" ht="37.5" customHeight="1">
      <c r="A10" s="31" t="s">
        <v>15</v>
      </c>
      <c r="B10" s="32"/>
      <c r="C10" s="32"/>
      <c r="D10" s="32"/>
      <c r="E10" s="32"/>
      <c r="F10" s="32"/>
      <c r="G10" s="33"/>
    </row>
  </sheetData>
  <mergeCells count="6">
    <mergeCell ref="A1:E1"/>
    <mergeCell ref="D2:F2"/>
    <mergeCell ref="D7:D9"/>
    <mergeCell ref="E7:E9"/>
    <mergeCell ref="F7:F9"/>
    <mergeCell ref="A10:G10"/>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8.88"/>
    <col customWidth="1" min="7" max="7" width="1.38"/>
    <col customWidth="1" min="8" max="8" width="103.13"/>
  </cols>
  <sheetData>
    <row r="1" ht="75.0" customHeight="1">
      <c r="A1" s="1" t="str">
        <f>"                                         My Modern Freedom™ Progress"</f>
        <v>                                         My Modern Freedom™ Progress</v>
      </c>
      <c r="B1" s="1"/>
      <c r="C1" s="1"/>
      <c r="D1" s="1"/>
      <c r="E1" s="1"/>
      <c r="F1" s="34" t="s">
        <v>16</v>
      </c>
      <c r="G1" s="35"/>
      <c r="H1" s="36"/>
    </row>
    <row r="2" ht="37.5" customHeight="1">
      <c r="A2" s="37">
        <f>today()</f>
        <v>46072</v>
      </c>
      <c r="B2" s="38">
        <f>('📊 1. Measure'!E3)</f>
        <v>0</v>
      </c>
      <c r="C2" s="38">
        <f>('📊 1. Measure'!E4)</f>
        <v>0</v>
      </c>
      <c r="D2" s="38">
        <f>('📊 1. Measure'!E6)</f>
        <v>0</v>
      </c>
      <c r="E2" s="38">
        <f>('📊 1. Measure'!E5)</f>
        <v>0</v>
      </c>
      <c r="F2" s="38">
        <f>('📊 1. Measure'!E7)</f>
        <v>0</v>
      </c>
      <c r="G2" s="39"/>
      <c r="H2" s="40"/>
    </row>
    <row r="3" ht="37.5" customHeight="1">
      <c r="A3" s="41" t="s">
        <v>17</v>
      </c>
      <c r="B3" s="42" t="s">
        <v>18</v>
      </c>
      <c r="C3" s="43" t="s">
        <v>19</v>
      </c>
      <c r="D3" s="42" t="s">
        <v>20</v>
      </c>
      <c r="E3" s="42" t="s">
        <v>21</v>
      </c>
      <c r="F3" s="42" t="s">
        <v>22</v>
      </c>
      <c r="G3" s="39"/>
      <c r="H3" s="44"/>
    </row>
    <row r="4" ht="22.5" customHeight="1">
      <c r="A4" s="45"/>
      <c r="B4" s="46"/>
      <c r="C4" s="46"/>
      <c r="D4" s="46"/>
      <c r="E4" s="46"/>
      <c r="F4" s="46"/>
      <c r="G4" s="47"/>
      <c r="H4" s="48"/>
    </row>
    <row r="5" ht="22.5" customHeight="1">
      <c r="A5" s="45"/>
      <c r="B5" s="49"/>
      <c r="C5" s="49"/>
      <c r="D5" s="49"/>
      <c r="E5" s="49"/>
      <c r="F5" s="46"/>
      <c r="G5" s="47"/>
      <c r="H5" s="48"/>
    </row>
    <row r="6" ht="22.5" customHeight="1">
      <c r="A6" s="45"/>
      <c r="B6" s="49"/>
      <c r="C6" s="49"/>
      <c r="D6" s="49"/>
      <c r="E6" s="49"/>
      <c r="F6" s="46"/>
      <c r="G6" s="47"/>
      <c r="H6" s="50"/>
    </row>
    <row r="7" ht="22.5" customHeight="1">
      <c r="A7" s="45"/>
      <c r="B7" s="49"/>
      <c r="C7" s="49"/>
      <c r="D7" s="49"/>
      <c r="E7" s="49"/>
      <c r="F7" s="46"/>
      <c r="G7" s="47"/>
      <c r="H7" s="48"/>
    </row>
    <row r="8" ht="22.5" customHeight="1">
      <c r="A8" s="45"/>
      <c r="B8" s="49"/>
      <c r="C8" s="49"/>
      <c r="D8" s="49"/>
      <c r="E8" s="49"/>
      <c r="F8" s="46"/>
      <c r="G8" s="47"/>
      <c r="H8" s="48"/>
    </row>
    <row r="9" ht="22.5" customHeight="1">
      <c r="A9" s="45"/>
      <c r="B9" s="49"/>
      <c r="C9" s="49"/>
      <c r="D9" s="49"/>
      <c r="E9" s="49"/>
      <c r="F9" s="46"/>
      <c r="G9" s="47"/>
      <c r="H9" s="48"/>
    </row>
    <row r="10" ht="22.5" customHeight="1">
      <c r="A10" s="45"/>
      <c r="B10" s="49"/>
      <c r="C10" s="49"/>
      <c r="D10" s="49"/>
      <c r="E10" s="49"/>
      <c r="F10" s="46"/>
      <c r="G10" s="47"/>
      <c r="H10" s="48"/>
    </row>
    <row r="11" ht="22.5" customHeight="1">
      <c r="A11" s="45"/>
      <c r="B11" s="49"/>
      <c r="C11" s="49"/>
      <c r="D11" s="49"/>
      <c r="E11" s="49"/>
      <c r="F11" s="46"/>
      <c r="G11" s="47"/>
      <c r="H11" s="48"/>
    </row>
    <row r="12" ht="22.5" customHeight="1">
      <c r="A12" s="45"/>
      <c r="B12" s="49"/>
      <c r="C12" s="49"/>
      <c r="D12" s="49"/>
      <c r="E12" s="49"/>
      <c r="F12" s="46"/>
      <c r="G12" s="47"/>
      <c r="H12" s="48"/>
    </row>
    <row r="13" ht="22.5" customHeight="1">
      <c r="A13" s="45"/>
      <c r="B13" s="49"/>
      <c r="C13" s="49"/>
      <c r="D13" s="49"/>
      <c r="E13" s="49"/>
      <c r="F13" s="46"/>
      <c r="G13" s="47"/>
      <c r="H13" s="48"/>
    </row>
    <row r="14" ht="22.5" customHeight="1">
      <c r="A14" s="45"/>
      <c r="B14" s="49"/>
      <c r="C14" s="49"/>
      <c r="D14" s="49"/>
      <c r="E14" s="49"/>
      <c r="F14" s="46"/>
      <c r="G14" s="47"/>
      <c r="H14" s="48"/>
    </row>
    <row r="15" ht="22.5" customHeight="1">
      <c r="A15" s="45"/>
      <c r="B15" s="46"/>
      <c r="C15" s="46"/>
      <c r="D15" s="46"/>
      <c r="E15" s="46"/>
      <c r="F15" s="46"/>
      <c r="G15" s="47"/>
      <c r="H15" s="48"/>
    </row>
    <row r="16" ht="22.5" customHeight="1">
      <c r="A16" s="45"/>
      <c r="B16" s="51"/>
      <c r="C16" s="52"/>
      <c r="D16" s="53"/>
      <c r="E16" s="53"/>
      <c r="F16" s="53"/>
      <c r="G16" s="47"/>
      <c r="H16" s="48"/>
    </row>
    <row r="17" ht="22.5" customHeight="1">
      <c r="A17" s="45"/>
      <c r="B17" s="51"/>
      <c r="C17" s="52"/>
      <c r="D17" s="53"/>
      <c r="E17" s="53"/>
      <c r="F17" s="53"/>
      <c r="G17" s="2"/>
      <c r="H17" s="54" t="s">
        <v>23</v>
      </c>
    </row>
    <row r="18" ht="22.5" customHeight="1">
      <c r="A18" s="45"/>
      <c r="B18" s="51"/>
      <c r="C18" s="52"/>
      <c r="D18" s="53"/>
      <c r="E18" s="53"/>
      <c r="F18" s="53"/>
      <c r="G18" s="2"/>
      <c r="H18" s="2" t="s">
        <v>24</v>
      </c>
    </row>
    <row r="19" ht="22.5" customHeight="1">
      <c r="A19" s="45"/>
      <c r="B19" s="51"/>
      <c r="C19" s="52"/>
      <c r="D19" s="53"/>
      <c r="E19" s="53"/>
      <c r="F19" s="53"/>
      <c r="G19" s="2"/>
    </row>
    <row r="20" ht="22.5" customHeight="1">
      <c r="A20" s="45"/>
      <c r="B20" s="51"/>
      <c r="C20" s="52"/>
      <c r="D20" s="53"/>
      <c r="E20" s="53"/>
      <c r="F20" s="53"/>
      <c r="G20" s="2"/>
    </row>
    <row r="21" ht="22.5" customHeight="1">
      <c r="A21" s="45"/>
      <c r="B21" s="51"/>
      <c r="C21" s="52"/>
      <c r="D21" s="53"/>
      <c r="E21" s="53"/>
      <c r="F21" s="53"/>
      <c r="G21" s="2"/>
    </row>
    <row r="22" ht="22.5" customHeight="1">
      <c r="A22" s="45"/>
      <c r="B22" s="51"/>
      <c r="C22" s="52"/>
      <c r="D22" s="53"/>
      <c r="E22" s="53"/>
      <c r="F22" s="53"/>
      <c r="G22" s="2"/>
    </row>
    <row r="23" ht="22.5" customHeight="1">
      <c r="A23" s="45"/>
      <c r="B23" s="51"/>
      <c r="C23" s="52"/>
      <c r="D23" s="53"/>
      <c r="E23" s="53"/>
      <c r="F23" s="53"/>
      <c r="G23" s="2"/>
    </row>
    <row r="24" ht="22.5" customHeight="1">
      <c r="A24" s="45"/>
      <c r="B24" s="51"/>
      <c r="C24" s="52"/>
      <c r="D24" s="53"/>
      <c r="E24" s="53"/>
      <c r="F24" s="53"/>
      <c r="G24" s="2"/>
    </row>
    <row r="25" ht="22.5" customHeight="1">
      <c r="A25" s="45"/>
      <c r="B25" s="51"/>
      <c r="C25" s="52"/>
      <c r="D25" s="53"/>
      <c r="E25" s="53"/>
      <c r="F25" s="53"/>
      <c r="G25" s="2"/>
    </row>
    <row r="26" ht="22.5" customHeight="1">
      <c r="A26" s="45"/>
      <c r="B26" s="51"/>
      <c r="C26" s="52"/>
      <c r="D26" s="53"/>
      <c r="E26" s="53"/>
      <c r="F26" s="53"/>
      <c r="G26" s="2"/>
    </row>
    <row r="27" ht="22.5" customHeight="1">
      <c r="A27" s="45"/>
      <c r="B27" s="51"/>
      <c r="C27" s="52"/>
      <c r="D27" s="53"/>
      <c r="E27" s="53"/>
      <c r="F27" s="53"/>
      <c r="G27" s="47"/>
      <c r="H27" s="32"/>
    </row>
    <row r="28" ht="22.5" customHeight="1">
      <c r="A28" s="45"/>
      <c r="B28" s="51"/>
      <c r="C28" s="52"/>
      <c r="D28" s="53"/>
      <c r="E28" s="53"/>
      <c r="F28" s="53"/>
      <c r="G28" s="47"/>
      <c r="H28" s="48"/>
    </row>
    <row r="29" ht="22.5" customHeight="1">
      <c r="A29" s="45"/>
      <c r="B29" s="51"/>
      <c r="C29" s="52"/>
      <c r="D29" s="53"/>
      <c r="E29" s="53"/>
      <c r="F29" s="53"/>
      <c r="G29" s="47"/>
      <c r="H29" s="48"/>
    </row>
    <row r="30" ht="22.5" customHeight="1">
      <c r="A30" s="45"/>
      <c r="B30" s="51"/>
      <c r="C30" s="52"/>
      <c r="D30" s="53"/>
      <c r="E30" s="53"/>
      <c r="F30" s="53"/>
      <c r="G30" s="47"/>
      <c r="H30" s="48"/>
    </row>
    <row r="31" ht="22.5" customHeight="1">
      <c r="A31" s="45"/>
      <c r="B31" s="51"/>
      <c r="C31" s="52"/>
      <c r="D31" s="53"/>
      <c r="E31" s="53"/>
      <c r="F31" s="53"/>
      <c r="G31" s="47"/>
      <c r="H31" s="48"/>
    </row>
    <row r="32" ht="22.5" customHeight="1">
      <c r="A32" s="45"/>
      <c r="B32" s="51"/>
      <c r="C32" s="52"/>
      <c r="D32" s="53"/>
      <c r="E32" s="53"/>
      <c r="F32" s="53"/>
      <c r="G32" s="47"/>
      <c r="H32" s="48"/>
    </row>
    <row r="33" ht="22.5" customHeight="1">
      <c r="A33" s="45"/>
      <c r="B33" s="51"/>
      <c r="C33" s="52"/>
      <c r="D33" s="53"/>
      <c r="E33" s="53"/>
      <c r="F33" s="53"/>
      <c r="G33" s="47"/>
      <c r="H33" s="48"/>
    </row>
    <row r="34" ht="22.5" customHeight="1">
      <c r="A34" s="45"/>
      <c r="B34" s="51"/>
      <c r="C34" s="52"/>
      <c r="D34" s="53"/>
      <c r="E34" s="53"/>
      <c r="F34" s="53"/>
      <c r="G34" s="47"/>
      <c r="H34" s="48"/>
    </row>
    <row r="35" ht="22.5" customHeight="1">
      <c r="A35" s="45"/>
      <c r="B35" s="51"/>
      <c r="C35" s="52"/>
      <c r="D35" s="53"/>
      <c r="E35" s="53"/>
      <c r="F35" s="53"/>
      <c r="G35" s="47"/>
      <c r="H35" s="48"/>
    </row>
    <row r="36" ht="22.5" customHeight="1">
      <c r="A36" s="45"/>
      <c r="B36" s="51"/>
      <c r="C36" s="52"/>
      <c r="D36" s="53"/>
      <c r="E36" s="53"/>
      <c r="F36" s="53"/>
      <c r="G36" s="47"/>
      <c r="H36" s="48"/>
    </row>
    <row r="37" ht="22.5" customHeight="1">
      <c r="A37" s="45"/>
      <c r="B37" s="51"/>
      <c r="C37" s="52"/>
      <c r="D37" s="53"/>
      <c r="E37" s="53"/>
      <c r="F37" s="53"/>
      <c r="G37" s="47"/>
      <c r="H37" s="48"/>
    </row>
    <row r="38" ht="22.5" customHeight="1">
      <c r="A38" s="45"/>
      <c r="B38" s="51"/>
      <c r="C38" s="52"/>
      <c r="D38" s="53"/>
      <c r="E38" s="53"/>
      <c r="F38" s="53"/>
      <c r="G38" s="47"/>
      <c r="H38" s="48"/>
    </row>
    <row r="39" ht="22.5" customHeight="1">
      <c r="A39" s="45"/>
      <c r="B39" s="51"/>
      <c r="C39" s="52"/>
      <c r="D39" s="53"/>
      <c r="E39" s="53"/>
      <c r="F39" s="53"/>
      <c r="G39" s="47"/>
      <c r="H39" s="48"/>
    </row>
    <row r="40" ht="22.5" customHeight="1">
      <c r="A40" s="45"/>
      <c r="B40" s="51"/>
      <c r="C40" s="52"/>
      <c r="D40" s="53"/>
      <c r="E40" s="53"/>
      <c r="F40" s="53"/>
      <c r="G40" s="47"/>
      <c r="H40" s="48"/>
    </row>
    <row r="41" ht="22.5" customHeight="1">
      <c r="A41" s="45"/>
      <c r="B41" s="51"/>
      <c r="C41" s="52"/>
      <c r="D41" s="53"/>
      <c r="E41" s="53"/>
      <c r="F41" s="53"/>
      <c r="G41" s="47"/>
      <c r="H41" s="48"/>
    </row>
    <row r="42" ht="22.5" customHeight="1">
      <c r="A42" s="45"/>
      <c r="B42" s="51"/>
      <c r="C42" s="52"/>
      <c r="D42" s="53"/>
      <c r="E42" s="53"/>
      <c r="F42" s="53"/>
      <c r="G42" s="47"/>
      <c r="H42" s="48"/>
    </row>
    <row r="43" ht="22.5" customHeight="1">
      <c r="A43" s="45"/>
      <c r="B43" s="51"/>
      <c r="C43" s="52"/>
      <c r="D43" s="53"/>
      <c r="E43" s="53"/>
      <c r="F43" s="53"/>
      <c r="G43" s="47"/>
      <c r="H43" s="48"/>
    </row>
    <row r="44" ht="22.5" customHeight="1">
      <c r="A44" s="45"/>
      <c r="B44" s="51"/>
      <c r="C44" s="52"/>
      <c r="D44" s="53"/>
      <c r="E44" s="53"/>
      <c r="F44" s="53"/>
      <c r="G44" s="47"/>
      <c r="H44" s="48"/>
    </row>
    <row r="45" ht="22.5" customHeight="1">
      <c r="A45" s="45"/>
      <c r="B45" s="51"/>
      <c r="C45" s="52"/>
      <c r="D45" s="53"/>
      <c r="E45" s="53"/>
      <c r="F45" s="53"/>
      <c r="G45" s="47"/>
      <c r="H45" s="48"/>
    </row>
    <row r="46" ht="22.5" customHeight="1">
      <c r="A46" s="45"/>
      <c r="B46" s="51"/>
      <c r="C46" s="52"/>
      <c r="D46" s="53"/>
      <c r="E46" s="53"/>
      <c r="F46" s="53"/>
      <c r="G46" s="47"/>
      <c r="H46" s="48"/>
    </row>
    <row r="47" ht="22.5" customHeight="1">
      <c r="A47" s="45"/>
      <c r="B47" s="51"/>
      <c r="C47" s="52"/>
      <c r="D47" s="53"/>
      <c r="E47" s="53"/>
      <c r="F47" s="53"/>
      <c r="G47" s="47"/>
      <c r="H47" s="48"/>
    </row>
    <row r="48" ht="22.5" customHeight="1">
      <c r="A48" s="45"/>
      <c r="B48" s="51"/>
      <c r="C48" s="52"/>
      <c r="D48" s="53"/>
      <c r="E48" s="53"/>
      <c r="F48" s="53"/>
      <c r="G48" s="47"/>
      <c r="H48" s="48"/>
    </row>
    <row r="49" ht="22.5" customHeight="1">
      <c r="A49" s="45"/>
      <c r="B49" s="51"/>
      <c r="C49" s="52"/>
      <c r="D49" s="53"/>
      <c r="E49" s="53"/>
      <c r="F49" s="53"/>
      <c r="G49" s="47"/>
      <c r="H49" s="48"/>
    </row>
    <row r="50" ht="37.5" customHeight="1">
      <c r="A50" s="55" t="s">
        <v>25</v>
      </c>
      <c r="B50" s="56"/>
      <c r="C50" s="56"/>
      <c r="D50" s="56"/>
      <c r="E50" s="56"/>
      <c r="F50" s="56"/>
      <c r="G50" s="56"/>
      <c r="H50" s="56"/>
    </row>
  </sheetData>
  <mergeCells count="2">
    <mergeCell ref="H18:H27"/>
    <mergeCell ref="A50:H50"/>
  </mergeCells>
  <drawing r:id="rId1"/>
</worksheet>
</file>